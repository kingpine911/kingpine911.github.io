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alcul terres" sheetId="1" state="visible" r:id="rId1"/>
  </sheets>
  <definedNames>
    <definedName name="_xlnm.Print_Area" localSheetId="0">'Calcul terres'!$A$1:$G$90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0.000"/>
    <numFmt numFmtId="165" formatCode="0.0"/>
    <numFmt numFmtId="166" formatCode="&quot;× &quot;0.0"/>
    <numFmt numFmtId="167" formatCode="&quot;− &quot;#,##0.00"/>
    <numFmt numFmtId="168" formatCode="#,##0.00;&quot;marge &quot;#,##0.00;0.00"/>
    <numFmt numFmtId="169" formatCode="#,##0.00;-#,##0.00;&quot;rien&quot;"/>
  </numFmts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color rgb="FF2D3748"/>
      <sz val="9"/>
    </font>
    <font>
      <name val="Calibri"/>
      <charset val="1"/>
      <family val="0"/>
      <b val="1"/>
      <color rgb="FF1A365D"/>
      <sz val="9"/>
    </font>
    <font>
      <name val="Calibri"/>
      <charset val="1"/>
      <family val="0"/>
      <b val="1"/>
      <color rgb="FF744210"/>
      <sz val="8"/>
    </font>
    <font>
      <name val="Calibri"/>
      <charset val="1"/>
      <family val="0"/>
      <color rgb="FF718096"/>
      <sz val="8"/>
    </font>
    <font>
      <name val="Calibri"/>
      <charset val="1"/>
      <family val="0"/>
      <b val="1"/>
      <color rgb="FF718096"/>
      <sz val="8"/>
    </font>
    <font>
      <name val="Calibri"/>
      <charset val="1"/>
      <family val="0"/>
      <b val="1"/>
      <color rgb="FF1A365D"/>
      <sz val="8"/>
    </font>
    <font>
      <name val="Calibri"/>
      <charset val="1"/>
      <family val="0"/>
      <color rgb="FF4A5568"/>
      <sz val="8"/>
    </font>
    <font>
      <name val="Calibri"/>
      <charset val="1"/>
      <family val="0"/>
      <b val="1"/>
      <color rgb="FF2D3748"/>
      <sz val="9"/>
    </font>
    <font>
      <name val="Calibri"/>
      <charset val="1"/>
      <family val="0"/>
      <color rgb="FF5B21B6"/>
      <sz val="8"/>
    </font>
    <font>
      <name val="Calibri"/>
      <charset val="1"/>
      <family val="0"/>
      <b val="1"/>
      <color rgb="FF5B21B6"/>
      <sz val="8"/>
    </font>
    <font>
      <name val="Calibri"/>
      <charset val="1"/>
      <family val="0"/>
      <b val="1"/>
      <color rgb="FF5B21B6"/>
      <sz val="9"/>
    </font>
    <font>
      <name val="Calibri"/>
      <charset val="1"/>
      <family val="0"/>
      <b val="1"/>
      <color rgb="FF234E52"/>
      <sz val="8"/>
    </font>
    <font>
      <name val="Calibri"/>
      <charset val="1"/>
      <family val="0"/>
      <b val="1"/>
      <color rgb="FF234E52"/>
      <sz val="11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color rgb="FFFFFFFF"/>
      <sz val="13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C05621"/>
      <sz val="9"/>
    </font>
    <font>
      <name val="Calibri"/>
      <charset val="1"/>
      <family val="0"/>
      <color rgb="FFC05621"/>
      <sz val="8"/>
    </font>
    <font>
      <name val="Calibri"/>
      <charset val="1"/>
      <family val="0"/>
      <b val="1"/>
      <color rgb="FFFFFFFF"/>
      <sz val="8"/>
    </font>
    <font>
      <name val="Calibri"/>
      <charset val="1"/>
      <family val="0"/>
      <color rgb="FF4A5568"/>
      <sz val="9"/>
    </font>
    <font>
      <name val="Calibri"/>
      <charset val="1"/>
      <family val="0"/>
      <b val="1"/>
      <color rgb="FF234E52"/>
      <sz val="9"/>
    </font>
    <font>
      <name val="Calibri"/>
      <b val="1"/>
      <i val="1"/>
      <color rgb="FF1E7FD6"/>
      <sz val="9"/>
    </font>
  </fonts>
  <fills count="18">
    <fill>
      <patternFill/>
    </fill>
    <fill>
      <patternFill patternType="gray125"/>
    </fill>
    <fill>
      <patternFill patternType="solid">
        <fgColor rgb="FF1C3557"/>
        <bgColor rgb="FF1A365D"/>
      </patternFill>
    </fill>
    <fill>
      <patternFill patternType="solid">
        <fgColor rgb="FFFFFFFF"/>
        <bgColor rgb="FFF7FAFC"/>
      </patternFill>
    </fill>
    <fill>
      <patternFill patternType="solid">
        <fgColor rgb="FF2B6CB0"/>
        <bgColor rgb="FF3366FF"/>
      </patternFill>
    </fill>
    <fill>
      <patternFill patternType="solid">
        <fgColor rgb="FFF7FAFC"/>
        <bgColor rgb="FFFFFFFF"/>
      </patternFill>
    </fill>
    <fill>
      <patternFill patternType="solid">
        <fgColor rgb="FFEBF8FF"/>
        <bgColor rgb="FFEDF2F7"/>
      </patternFill>
    </fill>
    <fill>
      <patternFill patternType="solid">
        <fgColor rgb="FFE2E8F0"/>
        <bgColor rgb="FFEDE9FE"/>
      </patternFill>
    </fill>
    <fill>
      <patternFill patternType="solid">
        <fgColor rgb="FFFEFCBF"/>
        <bgColor rgb="FFFEEBC8"/>
      </patternFill>
    </fill>
    <fill>
      <patternFill patternType="solid">
        <fgColor rgb="FFEDF2F7"/>
        <bgColor rgb="FFEBF8FF"/>
      </patternFill>
    </fill>
    <fill>
      <patternFill patternType="solid">
        <fgColor rgb="FF276749"/>
        <bgColor rgb="FF234E52"/>
      </patternFill>
    </fill>
    <fill>
      <patternFill patternType="solid">
        <fgColor rgb="FFBEE3F8"/>
        <bgColor rgb="FFCBD5E0"/>
      </patternFill>
    </fill>
    <fill>
      <patternFill patternType="solid">
        <fgColor rgb="FF6D28D9"/>
        <bgColor rgb="FF5B21B6"/>
      </patternFill>
    </fill>
    <fill>
      <patternFill patternType="solid">
        <fgColor rgb="FFEDE9FE"/>
        <bgColor rgb="FFEDF2F7"/>
      </patternFill>
    </fill>
    <fill>
      <patternFill patternType="solid">
        <fgColor rgb="FFE6FFFA"/>
        <bgColor rgb="FFF0FFF4"/>
      </patternFill>
    </fill>
    <fill>
      <patternFill patternType="solid">
        <fgColor rgb="FFFEEBC8"/>
        <bgColor rgb="FFFEFCBF"/>
      </patternFill>
    </fill>
    <fill>
      <patternFill patternType="solid">
        <fgColor rgb="FF4A5568"/>
        <bgColor rgb="FF234E52"/>
      </patternFill>
    </fill>
    <fill>
      <patternFill patternType="solid">
        <fgColor rgb="FFF0FFF4"/>
        <bgColor rgb="FFE6FFFA"/>
      </patternFill>
    </fill>
  </fills>
  <borders count="13">
    <border>
      <left/>
      <right/>
      <top/>
      <bottom/>
      <diagonal/>
    </border>
    <border>
      <left style="thin">
        <color rgb="FFCBD5E0"/>
      </left>
      <right/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medium">
        <color rgb="FF2B6CB0"/>
      </left>
      <right/>
      <top style="medium">
        <color rgb="FF2B6CB0"/>
      </top>
      <bottom style="medium">
        <color rgb="FF2B6CB0"/>
      </bottom>
      <diagonal/>
    </border>
    <border>
      <left style="medium">
        <color rgb="FF2B6CB0"/>
      </left>
      <right style="medium">
        <color rgb="FF2B6CB0"/>
      </right>
      <top style="medium">
        <color rgb="FF2B6CB0"/>
      </top>
      <bottom style="medium">
        <color rgb="FF2B6CB0"/>
      </bottom>
      <diagonal/>
    </border>
    <border>
      <left/>
      <right/>
      <top style="thin">
        <color rgb="FFCBD5E0"/>
      </top>
      <bottom/>
      <diagonal/>
    </border>
    <border>
      <left/>
      <right/>
      <top style="thin">
        <color rgb="FFCBD5E0"/>
      </top>
      <bottom style="thin">
        <color rgb="FFCBD5E0"/>
      </bottom>
      <diagonal/>
    </border>
    <border>
      <left/>
      <right/>
      <top style="medium">
        <color rgb="FF2B6CB0"/>
      </top>
      <bottom/>
      <diagonal/>
    </border>
    <border>
      <left/>
      <right/>
      <top style="medium">
        <color rgb="FF2B6CB0"/>
      </top>
      <bottom style="medium">
        <color rgb="FF2B6CB0"/>
      </bottom>
      <diagonal/>
    </border>
    <border>
      <left/>
      <right style="thin">
        <color rgb="FFCBD5E0"/>
      </right>
      <top style="thin">
        <color rgb="FFCBD5E0"/>
      </top>
      <bottom/>
      <diagonal/>
    </border>
    <border>
      <left/>
      <right style="thin">
        <color rgb="FFCBD5E0"/>
      </right>
      <top style="thin">
        <color rgb="FFCBD5E0"/>
      </top>
      <bottom style="thin">
        <color rgb="FFCBD5E0"/>
      </bottom>
      <diagonal/>
    </border>
    <border>
      <left/>
      <right style="medium">
        <color rgb="FF2B6CB0"/>
      </right>
      <top style="medium">
        <color rgb="FF2B6CB0"/>
      </top>
      <bottom/>
      <diagonal/>
    </border>
    <border>
      <left/>
      <right style="medium">
        <color rgb="FF2B6CB0"/>
      </right>
      <top style="medium">
        <color rgb="FF2B6CB0"/>
      </top>
      <bottom style="medium">
        <color rgb="FF2B6CB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left" vertical="center" wrapText="1" indent="1"/>
    </xf>
    <xf numFmtId="0" fontId="7" fillId="6" borderId="1" applyAlignment="1" pivotButton="0" quotePrefix="0" xfId="0">
      <alignment horizontal="left" vertical="center" wrapText="1" indent="1"/>
    </xf>
    <xf numFmtId="0" fontId="0" fillId="7" borderId="2" applyAlignment="1" pivotButton="0" quotePrefix="0" xfId="0">
      <alignment horizontal="general" vertical="bottom"/>
    </xf>
    <xf numFmtId="0" fontId="8" fillId="8" borderId="0" applyAlignment="1" pivotButton="0" quotePrefix="0" xfId="0">
      <alignment horizontal="left" vertical="center" wrapText="1" indent="1"/>
    </xf>
    <xf numFmtId="0" fontId="6" fillId="5" borderId="2" applyAlignment="1" pivotButton="0" quotePrefix="0" xfId="0">
      <alignment horizontal="left" vertical="center" wrapText="1" indent="1"/>
    </xf>
    <xf numFmtId="4" fontId="7" fillId="6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0" fillId="7" borderId="1" applyAlignment="1" pivotButton="0" quotePrefix="0" xfId="0">
      <alignment horizontal="general" vertical="bottom"/>
    </xf>
    <xf numFmtId="4" fontId="6" fillId="3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/>
    </xf>
    <xf numFmtId="0" fontId="5" fillId="10" borderId="0" applyAlignment="1" pivotButton="0" quotePrefix="0" xfId="0">
      <alignment horizontal="left" vertical="center" wrapText="1" indent="1"/>
    </xf>
    <xf numFmtId="0" fontId="0" fillId="11" borderId="2" applyAlignment="1" pivotButton="0" quotePrefix="0" xfId="0">
      <alignment horizontal="general" vertical="bottom"/>
    </xf>
    <xf numFmtId="0" fontId="11" fillId="11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center" vertical="center" wrapText="1"/>
    </xf>
    <xf numFmtId="4" fontId="7" fillId="11" borderId="2" applyAlignment="1" pivotButton="0" quotePrefix="0" xfId="0">
      <alignment horizontal="center" vertical="center"/>
    </xf>
    <xf numFmtId="0" fontId="12" fillId="11" borderId="1" applyAlignment="1" pivotButton="0" quotePrefix="0" xfId="0">
      <alignment horizontal="left" vertical="center" wrapText="1" indent="1"/>
    </xf>
    <xf numFmtId="4" fontId="13" fillId="3" borderId="2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4" fontId="7" fillId="6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 wrapText="1" indent="1"/>
    </xf>
    <xf numFmtId="4" fontId="7" fillId="11" borderId="1" applyAlignment="1" pivotButton="0" quotePrefix="0" xfId="0">
      <alignment horizontal="center" vertical="center"/>
    </xf>
    <xf numFmtId="0" fontId="9" fillId="11" borderId="2" applyAlignment="1" pivotButton="0" quotePrefix="0" xfId="0">
      <alignment horizontal="center" vertical="center"/>
    </xf>
    <xf numFmtId="0" fontId="5" fillId="12" borderId="0" applyAlignment="1" pivotButton="0" quotePrefix="0" xfId="0">
      <alignment horizontal="left" vertical="center" wrapText="1" indent="1"/>
    </xf>
    <xf numFmtId="0" fontId="14" fillId="13" borderId="1" applyAlignment="1" pivotButton="0" quotePrefix="0" xfId="0">
      <alignment horizontal="left" vertical="center" wrapText="1" indent="1"/>
    </xf>
    <xf numFmtId="0" fontId="15" fillId="13" borderId="2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4" fontId="6" fillId="3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left" vertical="center" wrapText="1" indent="1"/>
    </xf>
    <xf numFmtId="4" fontId="16" fillId="13" borderId="2" applyAlignment="1" pivotButton="0" quotePrefix="0" xfId="0">
      <alignment horizontal="center" vertical="center"/>
    </xf>
    <xf numFmtId="0" fontId="14" fillId="13" borderId="2" applyAlignment="1" pivotButton="0" quotePrefix="0" xfId="0">
      <alignment horizontal="center" vertical="center"/>
    </xf>
    <xf numFmtId="0" fontId="17" fillId="14" borderId="2" applyAlignment="1" pivotButton="0" quotePrefix="0" xfId="0">
      <alignment horizontal="center" vertical="center"/>
    </xf>
    <xf numFmtId="165" fontId="18" fillId="14" borderId="2" applyAlignment="1" pivotButton="0" quotePrefix="0" xfId="0">
      <alignment horizontal="center" vertical="center"/>
    </xf>
    <xf numFmtId="0" fontId="19" fillId="10" borderId="3" applyAlignment="1" pivotButton="0" quotePrefix="0" xfId="0">
      <alignment horizontal="left" vertical="center" wrapText="1" indent="1"/>
    </xf>
    <xf numFmtId="4" fontId="20" fillId="10" borderId="4" applyAlignment="1" pivotButton="0" quotePrefix="0" xfId="0">
      <alignment horizontal="center" vertical="center"/>
    </xf>
    <xf numFmtId="0" fontId="21" fillId="10" borderId="4" applyAlignment="1" pivotButton="0" quotePrefix="0" xfId="0">
      <alignment horizontal="center" vertical="center"/>
    </xf>
    <xf numFmtId="0" fontId="0" fillId="10" borderId="4" applyAlignment="1" pivotButton="0" quotePrefix="0" xfId="0">
      <alignment horizontal="general" vertical="bottom"/>
    </xf>
    <xf numFmtId="0" fontId="22" fillId="15" borderId="2" applyAlignment="1" pivotButton="0" quotePrefix="0" xfId="0">
      <alignment horizontal="left" vertical="center" wrapText="1" indent="1"/>
    </xf>
    <xf numFmtId="4" fontId="22" fillId="15" borderId="2" applyAlignment="1" pivotButton="0" quotePrefix="0" xfId="0">
      <alignment horizontal="center" vertical="center"/>
    </xf>
    <xf numFmtId="0" fontId="23" fillId="15" borderId="2" applyAlignment="1" pivotButton="0" quotePrefix="0" xfId="0">
      <alignment horizontal="center" vertical="center"/>
    </xf>
    <xf numFmtId="0" fontId="24" fillId="16" borderId="0" applyAlignment="1" pivotButton="0" quotePrefix="0" xfId="0">
      <alignment horizontal="left" vertical="center" wrapText="1" indent="1"/>
    </xf>
    <xf numFmtId="0" fontId="7" fillId="6" borderId="2" applyAlignment="1" pivotButton="0" quotePrefix="0" xfId="0">
      <alignment horizontal="left" vertical="center" wrapText="1" indent="1"/>
    </xf>
    <xf numFmtId="0" fontId="25" fillId="3" borderId="1" applyAlignment="1" pivotButton="0" quotePrefix="0" xfId="0">
      <alignment horizontal="left" vertical="center" wrapText="1" indent="1"/>
    </xf>
    <xf numFmtId="0" fontId="6" fillId="3" borderId="2" applyAlignment="1" pivotButton="0" quotePrefix="0" xfId="0">
      <alignment horizontal="left" vertical="center" wrapText="1" indent="1"/>
    </xf>
    <xf numFmtId="0" fontId="5" fillId="10" borderId="2" applyAlignment="1" pivotButton="0" quotePrefix="0" xfId="0">
      <alignment horizontal="left" vertical="center" wrapText="1" indent="1"/>
    </xf>
    <xf numFmtId="0" fontId="26" fillId="14" borderId="2" applyAlignment="1" pivotButton="0" quotePrefix="0" xfId="0">
      <alignment horizontal="left" vertical="center" wrapText="1" indent="1"/>
    </xf>
    <xf numFmtId="0" fontId="16" fillId="13" borderId="2" applyAlignment="1" pivotButton="0" quotePrefix="0" xfId="0">
      <alignment horizontal="left" vertical="center" wrapText="1" indent="1"/>
    </xf>
    <xf numFmtId="0" fontId="17" fillId="14" borderId="1" applyAlignment="1" pivotButton="0" quotePrefix="0" xfId="0">
      <alignment horizontal="left" vertical="center" wrapText="1" indent="1"/>
    </xf>
    <xf numFmtId="0" fontId="6" fillId="17" borderId="1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left" vertical="center" wrapText="1" indent="1"/>
    </xf>
    <xf numFmtId="0" fontId="0" fillId="0" borderId="6" pivotButton="0" quotePrefix="0" xfId="0"/>
    <xf numFmtId="0" fontId="7" fillId="6" borderId="1" applyAlignment="1" pivotButton="0" quotePrefix="0" xfId="0">
      <alignment horizontal="left" vertical="center" wrapText="1" indent="1"/>
    </xf>
    <xf numFmtId="0" fontId="0" fillId="7" borderId="2" applyAlignment="1" pivotButton="0" quotePrefix="0" xfId="0">
      <alignment horizontal="general" vertical="bottom"/>
    </xf>
    <xf numFmtId="0" fontId="8" fillId="8" borderId="0" applyAlignment="1" pivotButton="0" quotePrefix="0" xfId="0">
      <alignment horizontal="left" vertical="center" wrapText="1" indent="1"/>
    </xf>
    <xf numFmtId="0" fontId="6" fillId="5" borderId="2" applyAlignment="1" pivotButton="0" quotePrefix="0" xfId="0">
      <alignment horizontal="left" vertical="center" wrapText="1" indent="1"/>
    </xf>
    <xf numFmtId="4" fontId="7" fillId="6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0" fillId="7" borderId="1" applyAlignment="1" pivotButton="0" quotePrefix="0" xfId="0">
      <alignment horizontal="general" vertical="bottom"/>
    </xf>
    <xf numFmtId="4" fontId="6" fillId="3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/>
    </xf>
    <xf numFmtId="0" fontId="5" fillId="10" borderId="0" applyAlignment="1" pivotButton="0" quotePrefix="0" xfId="0">
      <alignment horizontal="left" vertical="center" wrapText="1" indent="1"/>
    </xf>
    <xf numFmtId="0" fontId="0" fillId="11" borderId="2" applyAlignment="1" pivotButton="0" quotePrefix="0" xfId="0">
      <alignment horizontal="general" vertical="bottom"/>
    </xf>
    <xf numFmtId="0" fontId="11" fillId="11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center" vertical="center" wrapText="1"/>
    </xf>
    <xf numFmtId="4" fontId="7" fillId="11" borderId="2" applyAlignment="1" pivotButton="0" quotePrefix="0" xfId="0">
      <alignment horizontal="center" vertical="center"/>
    </xf>
    <xf numFmtId="0" fontId="12" fillId="11" borderId="1" applyAlignment="1" pivotButton="0" quotePrefix="0" xfId="0">
      <alignment horizontal="left" vertical="center" wrapText="1" indent="1"/>
    </xf>
    <xf numFmtId="4" fontId="13" fillId="3" borderId="2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4" fontId="7" fillId="6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 wrapText="1" indent="1"/>
    </xf>
    <xf numFmtId="4" fontId="7" fillId="11" borderId="1" applyAlignment="1" pivotButton="0" quotePrefix="0" xfId="0">
      <alignment horizontal="center" vertical="center"/>
    </xf>
    <xf numFmtId="0" fontId="9" fillId="11" borderId="2" applyAlignment="1" pivotButton="0" quotePrefix="0" xfId="0">
      <alignment horizontal="center" vertical="center"/>
    </xf>
    <xf numFmtId="0" fontId="5" fillId="12" borderId="0" applyAlignment="1" pivotButton="0" quotePrefix="0" xfId="0">
      <alignment horizontal="left" vertical="center" wrapText="1" indent="1"/>
    </xf>
    <xf numFmtId="0" fontId="14" fillId="13" borderId="1" applyAlignment="1" pivotButton="0" quotePrefix="0" xfId="0">
      <alignment horizontal="left" vertical="center" wrapText="1" indent="1"/>
    </xf>
    <xf numFmtId="0" fontId="15" fillId="13" borderId="2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4" fontId="6" fillId="3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left" vertical="center" wrapText="1" indent="1"/>
    </xf>
    <xf numFmtId="4" fontId="16" fillId="13" borderId="2" applyAlignment="1" pivotButton="0" quotePrefix="0" xfId="0">
      <alignment horizontal="center" vertical="center"/>
    </xf>
    <xf numFmtId="0" fontId="14" fillId="13" borderId="2" applyAlignment="1" pivotButton="0" quotePrefix="0" xfId="0">
      <alignment horizontal="center" vertical="center"/>
    </xf>
    <xf numFmtId="0" fontId="17" fillId="14" borderId="2" applyAlignment="1" pivotButton="0" quotePrefix="0" xfId="0">
      <alignment horizontal="center" vertical="center"/>
    </xf>
    <xf numFmtId="165" fontId="18" fillId="14" borderId="2" applyAlignment="1" pivotButton="0" quotePrefix="0" xfId="0">
      <alignment horizontal="center" vertical="center"/>
    </xf>
    <xf numFmtId="0" fontId="19" fillId="10" borderId="3" applyAlignment="1" pivotButton="0" quotePrefix="0" xfId="0">
      <alignment horizontal="left" vertical="center" wrapText="1" indent="1"/>
    </xf>
    <xf numFmtId="0" fontId="0" fillId="0" borderId="8" pivotButton="0" quotePrefix="0" xfId="0"/>
    <xf numFmtId="4" fontId="20" fillId="10" borderId="4" applyAlignment="1" pivotButton="0" quotePrefix="0" xfId="0">
      <alignment horizontal="center" vertical="center"/>
    </xf>
    <xf numFmtId="0" fontId="21" fillId="10" borderId="4" applyAlignment="1" pivotButton="0" quotePrefix="0" xfId="0">
      <alignment horizontal="center" vertical="center"/>
    </xf>
    <xf numFmtId="0" fontId="0" fillId="10" borderId="4" applyAlignment="1" pivotButton="0" quotePrefix="0" xfId="0">
      <alignment horizontal="general" vertical="bottom"/>
    </xf>
    <xf numFmtId="0" fontId="22" fillId="15" borderId="2" applyAlignment="1" pivotButton="0" quotePrefix="0" xfId="0">
      <alignment horizontal="left" vertical="center" wrapText="1" indent="1"/>
    </xf>
    <xf numFmtId="4" fontId="22" fillId="15" borderId="2" applyAlignment="1" pivotButton="0" quotePrefix="0" xfId="0">
      <alignment horizontal="center" vertical="center"/>
    </xf>
    <xf numFmtId="0" fontId="23" fillId="15" borderId="2" applyAlignment="1" pivotButton="0" quotePrefix="0" xfId="0">
      <alignment horizontal="center" vertical="center"/>
    </xf>
    <xf numFmtId="0" fontId="24" fillId="16" borderId="0" applyAlignment="1" pivotButton="0" quotePrefix="0" xfId="0">
      <alignment horizontal="left" vertical="center" wrapText="1" indent="1"/>
    </xf>
    <xf numFmtId="0" fontId="7" fillId="6" borderId="2" applyAlignment="1" pivotButton="0" quotePrefix="0" xfId="0">
      <alignment horizontal="left" vertical="center" wrapText="1" indent="1"/>
    </xf>
    <xf numFmtId="0" fontId="25" fillId="3" borderId="1" applyAlignment="1" pivotButton="0" quotePrefix="0" xfId="0">
      <alignment horizontal="left" vertical="center" wrapText="1" indent="1"/>
    </xf>
    <xf numFmtId="0" fontId="6" fillId="3" borderId="2" applyAlignment="1" pivotButton="0" quotePrefix="0" xfId="0">
      <alignment horizontal="left" vertical="center" wrapText="1" indent="1"/>
    </xf>
    <xf numFmtId="0" fontId="5" fillId="10" borderId="2" applyAlignment="1" pivotButton="0" quotePrefix="0" xfId="0">
      <alignment horizontal="left" vertical="center" wrapText="1" indent="1"/>
    </xf>
    <xf numFmtId="0" fontId="26" fillId="14" borderId="2" applyAlignment="1" pivotButton="0" quotePrefix="0" xfId="0">
      <alignment horizontal="left" vertical="center" wrapText="1" indent="1"/>
    </xf>
    <xf numFmtId="0" fontId="16" fillId="13" borderId="2" applyAlignment="1" pivotButton="0" quotePrefix="0" xfId="0">
      <alignment horizontal="left" vertical="center" wrapText="1" indent="1"/>
    </xf>
    <xf numFmtId="0" fontId="17" fillId="14" borderId="1" applyAlignment="1" pivotButton="0" quotePrefix="0" xfId="0">
      <alignment horizontal="left" vertical="center" wrapText="1" indent="1"/>
    </xf>
    <xf numFmtId="0" fontId="6" fillId="17" borderId="1" applyAlignment="1" pivotButton="0" quotePrefix="0" xfId="0">
      <alignment horizontal="left" vertical="center" wrapText="1" indent="1"/>
    </xf>
    <xf numFmtId="0" fontId="27" fillId="11" borderId="2" applyAlignment="1" pivotButton="0" quotePrefix="0" xfId="0">
      <alignment vertical="center" wrapText="1"/>
    </xf>
    <xf numFmtId="0" fontId="0" fillId="0" borderId="10" pivotButton="0" quotePrefix="0" xfId="0"/>
    <xf numFmtId="0" fontId="7" fillId="11" borderId="2" applyAlignment="1" pivotButton="0" quotePrefix="0" xfId="0">
      <alignment horizontal="left" vertical="center" wrapText="1" indent="1"/>
    </xf>
    <xf numFmtId="0" fontId="11" fillId="11" borderId="1" applyAlignment="1" pivotButton="0" quotePrefix="0" xfId="0">
      <alignment horizontal="center" vertical="center" wrapText="1"/>
    </xf>
    <xf numFmtId="166" fontId="11" fillId="11" borderId="2" applyAlignment="1" pivotButton="0" quotePrefix="0" xfId="0">
      <alignment horizontal="right" vertical="center"/>
    </xf>
    <xf numFmtId="4" fontId="6" fillId="3" borderId="2" applyAlignment="1" pivotButton="0" quotePrefix="0" xfId="0">
      <alignment horizontal="right" vertical="center"/>
    </xf>
    <xf numFmtId="167" fontId="6" fillId="3" borderId="2" applyAlignment="1" pivotButton="0" quotePrefix="0" xfId="0">
      <alignment horizontal="right" vertical="center"/>
    </xf>
    <xf numFmtId="4" fontId="20" fillId="10" borderId="4" applyAlignment="1" pivotButton="0" quotePrefix="0" xfId="0">
      <alignment horizontal="right" vertical="center"/>
    </xf>
    <xf numFmtId="0" fontId="0" fillId="0" borderId="12" pivotButton="0" quotePrefix="0" xfId="0"/>
    <xf numFmtId="168" fontId="6" fillId="3" borderId="2" applyAlignment="1" pivotButton="0" quotePrefix="0" xfId="0">
      <alignment horizontal="right" vertical="center"/>
    </xf>
    <xf numFmtId="169" fontId="22" fillId="15" borderId="2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name val="Calibri"/>
        <charset val="1"/>
        <family val="0"/>
        <b val="1"/>
        <color rgb="FFC53030"/>
        <sz val="9"/>
      </font>
      <fill>
        <patternFill>
          <bgColor rgb="FFFED7D7"/>
        </patternFill>
      </fill>
    </dxf>
    <dxf>
      <font>
        <name val="Calibri"/>
        <charset val="1"/>
        <family val="0"/>
        <b val="1"/>
        <color rgb="FF276749"/>
        <sz val="9"/>
      </font>
      <fill>
        <patternFill>
          <bgColor rgb="FFC6F6D5"/>
        </patternFill>
      </fill>
    </dxf>
    <dxf>
      <font>
        <name val="Calibri"/>
        <charset val="1"/>
        <family val="0"/>
        <b val="1"/>
        <color rgb="FFC05621"/>
        <sz val="8"/>
      </font>
      <fill>
        <patternFill>
          <bgColor rgb="FFFEEBC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0FFF4"/>
      <rgbColor rgb="FFFF00FF"/>
      <rgbColor rgb="FF00FFFF"/>
      <rgbColor rgb="FF800000"/>
      <rgbColor rgb="FF008000"/>
      <rgbColor rgb="FF000080"/>
      <rgbColor rgb="FF808000"/>
      <rgbColor rgb="FF5B21B6"/>
      <rgbColor rgb="FF276749"/>
      <rgbColor rgb="FFE2E8F0"/>
      <rgbColor rgb="FF718096"/>
      <rgbColor rgb="FF9999FF"/>
      <rgbColor rgb="FFC53030"/>
      <rgbColor rgb="FFFEFCBF"/>
      <rgbColor rgb="FFE6FFFA"/>
      <rgbColor rgb="FF660066"/>
      <rgbColor rgb="FFFF8080"/>
      <rgbColor rgb="FF2B6CB0"/>
      <rgbColor rgb="FFCBD5E0"/>
      <rgbColor rgb="FF000080"/>
      <rgbColor rgb="FFFF00FF"/>
      <rgbColor rgb="FFF7FAFC"/>
      <rgbColor rgb="FF00FFFF"/>
      <rgbColor rgb="FF6D28D9"/>
      <rgbColor rgb="FF800000"/>
      <rgbColor rgb="FF008080"/>
      <rgbColor rgb="FF0000FF"/>
      <rgbColor rgb="FF00CCFF"/>
      <rgbColor rgb="FFEBF8FF"/>
      <rgbColor rgb="FFC6F6D5"/>
      <rgbColor rgb="FFFEEBC8"/>
      <rgbColor rgb="FFBEE3F8"/>
      <rgbColor rgb="FFEDF2F7"/>
      <rgbColor rgb="FFEDE9FE"/>
      <rgbColor rgb="FFFED7D7"/>
      <rgbColor rgb="FF3366FF"/>
      <rgbColor rgb="FF33CCCC"/>
      <rgbColor rgb="FF99CC00"/>
      <rgbColor rgb="FFFFCC00"/>
      <rgbColor rgb="FFFF9900"/>
      <rgbColor rgb="FFC05621"/>
      <rgbColor rgb="FF4A5568"/>
      <rgbColor rgb="FF969696"/>
      <rgbColor rgb="FF1A365D"/>
      <rgbColor rgb="FF339966"/>
      <rgbColor rgb="FF003300"/>
      <rgbColor rgb="FF234E52"/>
      <rgbColor rgb="FF744210"/>
      <rgbColor rgb="FF993366"/>
      <rgbColor rgb="FF1C3557"/>
      <rgbColor rgb="FF2D3748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9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6" customWidth="1" style="55" min="1" max="1"/>
    <col width="11" customWidth="1" style="55" min="2" max="2"/>
    <col width="7" customWidth="1" style="55" min="3" max="3"/>
    <col width="20" customWidth="1" style="55" min="4" max="4"/>
    <col width="11" customWidth="1" style="55" min="5" max="5"/>
    <col width="7" customWidth="1" style="55" min="6" max="6"/>
    <col width="1.51" customWidth="1" style="55" min="7" max="7"/>
    <col hidden="1" width="13" customWidth="1" style="55" min="9" max="9"/>
  </cols>
  <sheetData>
    <row r="1" ht="37.5" customHeight="1" s="56">
      <c r="A1" s="57" t="inlineStr">
        <is>
          <t>CALCUL DES TERRES THÉORIQUES À ÉVACUER — V6.6</t>
        </is>
      </c>
    </row>
    <row r="2" ht="6" customHeight="1" s="56">
      <c r="A2" s="58" t="n"/>
    </row>
    <row r="3" ht="21.75" customHeight="1" s="56">
      <c r="A3" s="59" t="inlineStr">
        <is>
          <t>📋   INFORMATIONS CHANTIER</t>
        </is>
      </c>
    </row>
    <row r="4" ht="18" customHeight="1" s="56">
      <c r="A4" s="60" t="inlineStr">
        <is>
          <t>Nom du chantier</t>
        </is>
      </c>
      <c r="B4" s="61" t="n"/>
      <c r="C4" s="61" t="n"/>
      <c r="D4" s="62" t="n"/>
      <c r="E4" s="61" t="n"/>
      <c r="F4" s="61" t="n"/>
      <c r="G4" s="63" t="n"/>
    </row>
    <row r="5" ht="18" customHeight="1" s="56">
      <c r="A5" s="60" t="inlineStr">
        <is>
          <t>N° Chantier</t>
        </is>
      </c>
      <c r="B5" s="61" t="n"/>
      <c r="C5" s="61" t="n"/>
      <c r="D5" s="62" t="n"/>
      <c r="E5" s="61" t="n"/>
      <c r="F5" s="61" t="n"/>
      <c r="G5" s="63" t="n"/>
    </row>
    <row r="6" ht="18" customHeight="1" s="56">
      <c r="A6" s="60" t="inlineStr">
        <is>
          <t>N° Contrat</t>
        </is>
      </c>
      <c r="B6" s="61" t="n"/>
      <c r="C6" s="61" t="n"/>
      <c r="D6" s="62" t="n"/>
      <c r="E6" s="61" t="n"/>
      <c r="F6" s="61" t="n"/>
      <c r="G6" s="63" t="n"/>
    </row>
    <row r="7" ht="6" customHeight="1" s="56">
      <c r="A7" s="58" t="n"/>
    </row>
    <row r="8" ht="21.75" customHeight="1" s="56">
      <c r="A8" s="59" t="inlineStr">
        <is>
          <t>📐   ALTIMÉTRIE &amp; COTES</t>
        </is>
      </c>
    </row>
    <row r="9" ht="15" customHeight="1" s="56">
      <c r="A9" s="64" t="inlineStr">
        <is>
          <t xml:space="preserve">   ⚠️  Saisir les cotes en valeurs POSITIVES</t>
        </is>
      </c>
    </row>
    <row r="10" ht="18" customHeight="1" s="56">
      <c r="A10" s="65" t="inlineStr">
        <is>
          <t>Hauteur du vide-sanitaire prévu</t>
        </is>
      </c>
      <c r="B10" s="66" t="n"/>
      <c r="C10" s="67" t="inlineStr">
        <is>
          <t>m</t>
        </is>
      </c>
      <c r="D10" s="68" t="n"/>
      <c r="E10" s="61" t="n"/>
      <c r="F10" s="61" t="n"/>
      <c r="G10" s="63" t="n"/>
    </row>
    <row r="11" ht="18" customHeight="1" s="56">
      <c r="A11" s="65" t="inlineStr">
        <is>
          <t>Hauteur supplémentaire du soubassement</t>
        </is>
      </c>
      <c r="B11" s="66" t="n"/>
      <c r="C11" s="67" t="inlineStr">
        <is>
          <t>m</t>
        </is>
      </c>
      <c r="D11" s="68" t="n"/>
      <c r="E11" s="61" t="n"/>
      <c r="F11" s="61" t="n"/>
      <c r="G11" s="63" t="n"/>
    </row>
    <row r="12" ht="18" customHeight="1" s="56">
      <c r="A12" s="65" t="inlineStr">
        <is>
          <t>▸  Total hauteur VS / sous-sol</t>
        </is>
      </c>
      <c r="B12" s="69">
        <f>B10+B11</f>
        <v/>
      </c>
      <c r="C12" s="67" t="inlineStr">
        <is>
          <t>m</t>
        </is>
      </c>
      <c r="D12" s="68" t="n"/>
      <c r="E12" s="61" t="n"/>
      <c r="F12" s="61" t="n"/>
      <c r="G12" s="63" t="n"/>
    </row>
    <row r="13" ht="18" customHeight="1" s="56">
      <c r="A13" s="65" t="inlineStr">
        <is>
          <t>Cote altimétrique RDC du projet</t>
        </is>
      </c>
      <c r="B13" s="66" t="n"/>
      <c r="C13" s="67" t="inlineStr">
        <is>
          <t>m</t>
        </is>
      </c>
      <c r="D13" s="68" t="n"/>
      <c r="E13" s="61" t="n"/>
      <c r="F13" s="61" t="n"/>
      <c r="G13" s="63" t="n"/>
    </row>
    <row r="14" ht="18" customHeight="1" s="56">
      <c r="A14" s="65" t="inlineStr">
        <is>
          <t>▸  Cote fond de plateforme  (RDC − VS)</t>
        </is>
      </c>
      <c r="B14" s="69">
        <f>B13-B12</f>
        <v/>
      </c>
      <c r="C14" s="67" t="inlineStr">
        <is>
          <t>m</t>
        </is>
      </c>
      <c r="D14" s="68" t="n"/>
      <c r="E14" s="61" t="n"/>
      <c r="F14" s="61" t="n"/>
      <c r="G14" s="63" t="n"/>
    </row>
    <row r="15" ht="18" customHeight="1" s="56">
      <c r="A15" s="65" t="inlineStr">
        <is>
          <t>Réf altimétrique</t>
        </is>
      </c>
      <c r="B15" s="66" t="n"/>
      <c r="C15" s="67" t="inlineStr">
        <is>
          <t>m</t>
        </is>
      </c>
      <c r="D15" s="68" t="n"/>
      <c r="E15" s="61" t="n"/>
      <c r="F15" s="61" t="n"/>
      <c r="G15" s="63" t="n"/>
    </row>
    <row r="16" ht="18" customHeight="1" s="56">
      <c r="A16" s="65" t="inlineStr">
        <is>
          <t>ℹ  Diff. Réf / fond de fouille (info)</t>
        </is>
      </c>
      <c r="B16" s="69">
        <f>IFERROR(B14-B15,"")</f>
        <v/>
      </c>
      <c r="C16" s="67" t="inlineStr">
        <is>
          <t>m</t>
        </is>
      </c>
      <c r="D16" s="68" t="n"/>
      <c r="E16" s="61" t="n"/>
      <c r="F16" s="61" t="n"/>
      <c r="G16" s="63" t="n"/>
    </row>
    <row r="17" ht="6" customHeight="1" s="56">
      <c r="A17" s="58" t="n"/>
    </row>
    <row r="18" ht="21.75" customHeight="1" s="56">
      <c r="A18" s="59" t="inlineStr">
        <is>
          <t>📍   TERRAIN NATUREL — PIQUETS TN</t>
        </is>
      </c>
    </row>
    <row r="19" ht="18" customHeight="1" s="56">
      <c r="A19" s="65" t="inlineStr">
        <is>
          <t>Piquet N°1  (avant / droite)</t>
        </is>
      </c>
      <c r="B19" s="66" t="n"/>
      <c r="C19" s="67" t="inlineStr">
        <is>
          <t>m</t>
        </is>
      </c>
      <c r="D19" s="70" t="inlineStr">
        <is>
          <t>Diff. fond plateforme :</t>
        </is>
      </c>
      <c r="E19" s="69">
        <f>IF(B19="","",B14-B19)</f>
        <v/>
      </c>
      <c r="F19" s="67" t="inlineStr">
        <is>
          <t>m</t>
        </is>
      </c>
      <c r="G19" s="63" t="n"/>
    </row>
    <row r="20" ht="18" customHeight="1" s="56">
      <c r="A20" s="65" t="inlineStr">
        <is>
          <t>Piquet N°2  (avant / gauche)</t>
        </is>
      </c>
      <c r="B20" s="66" t="n"/>
      <c r="C20" s="67" t="inlineStr">
        <is>
          <t>m</t>
        </is>
      </c>
      <c r="D20" s="70" t="inlineStr">
        <is>
          <t>Diff. fond plateforme :</t>
        </is>
      </c>
      <c r="E20" s="69">
        <f>IF(B20="","",B14-B20)</f>
        <v/>
      </c>
      <c r="F20" s="67" t="inlineStr">
        <is>
          <t>m</t>
        </is>
      </c>
      <c r="G20" s="63" t="n"/>
    </row>
    <row r="21" ht="18" customHeight="1" s="56">
      <c r="A21" s="65" t="inlineStr">
        <is>
          <t>Piquet N°3  (arrière / gauche)</t>
        </is>
      </c>
      <c r="B21" s="66" t="n"/>
      <c r="C21" s="67" t="inlineStr">
        <is>
          <t>m</t>
        </is>
      </c>
      <c r="D21" s="70" t="inlineStr">
        <is>
          <t>Diff. fond plateforme :</t>
        </is>
      </c>
      <c r="E21" s="69">
        <f>IF(B21="","",B14-B21)</f>
        <v/>
      </c>
      <c r="F21" s="67" t="inlineStr">
        <is>
          <t>m</t>
        </is>
      </c>
      <c r="G21" s="63" t="n"/>
    </row>
    <row r="22" ht="18" customHeight="1" s="56">
      <c r="A22" s="65" t="inlineStr">
        <is>
          <t>Piquet N°4  (arrière / droite)</t>
        </is>
      </c>
      <c r="B22" s="66" t="n"/>
      <c r="C22" s="67" t="inlineStr">
        <is>
          <t>m</t>
        </is>
      </c>
      <c r="D22" s="70" t="inlineStr">
        <is>
          <t>Diff. fond plateforme :</t>
        </is>
      </c>
      <c r="E22" s="69">
        <f>IF(B22="","",B14-B22)</f>
        <v/>
      </c>
      <c r="F22" s="67" t="inlineStr">
        <is>
          <t>m</t>
        </is>
      </c>
      <c r="G22" s="63" t="n"/>
    </row>
    <row r="23" ht="18" customHeight="1" s="56">
      <c r="A23" s="65" t="inlineStr">
        <is>
          <t>▸  Moyenne TN sur l'emprise</t>
        </is>
      </c>
      <c r="B23" s="69">
        <f>IFERROR(AVERAGE(B19:B22),"")</f>
        <v/>
      </c>
      <c r="C23" s="67" t="inlineStr">
        <is>
          <t>m</t>
        </is>
      </c>
      <c r="D23" s="71">
        <f>"Piquets saisis :  "&amp;COUNT(B19:B22)&amp;" / 4"</f>
        <v/>
      </c>
      <c r="E23" s="61" t="n"/>
      <c r="F23" s="61" t="n"/>
      <c r="G23" s="63" t="n"/>
    </row>
    <row r="24" ht="18" customHeight="1" s="56">
      <c r="A24" s="65" t="inlineStr">
        <is>
          <t>▸  Hauteur moyenne du terrassement</t>
        </is>
      </c>
      <c r="B24" s="69">
        <f>IFERROR(B23-B14,"")</f>
        <v/>
      </c>
      <c r="C24" s="67" t="inlineStr">
        <is>
          <t>m</t>
        </is>
      </c>
      <c r="D24" s="68">
        <f>IF(AND(ISNUMBER(B24),B24&lt;0),"⚠ TN sous le fond de plateforme : remblai","")</f>
        <v/>
      </c>
      <c r="E24" s="61" t="n"/>
      <c r="F24" s="61" t="n"/>
      <c r="G24" s="63" t="n"/>
    </row>
    <row r="25" ht="6" customHeight="1" s="56">
      <c r="A25" s="58" t="n"/>
    </row>
    <row r="26" ht="21.75" customHeight="1" s="56">
      <c r="A26" s="72" t="inlineStr">
        <is>
          <t>✅   CONTRÔLE</t>
        </is>
      </c>
    </row>
    <row r="27" ht="18" customHeight="1" s="56">
      <c r="A27" s="65" t="inlineStr">
        <is>
          <t>Cote : dalle finie → Réf altimétrique</t>
        </is>
      </c>
      <c r="B27" s="69">
        <f>IFERROR(B13-B15,"")</f>
        <v/>
      </c>
      <c r="C27" s="67" t="inlineStr">
        <is>
          <t>m</t>
        </is>
      </c>
      <c r="D27" s="68" t="n"/>
      <c r="E27" s="61" t="n"/>
      <c r="F27" s="61" t="n"/>
      <c r="G27" s="63" t="n"/>
    </row>
    <row r="28" ht="18" customHeight="1" s="56">
      <c r="A28" s="65" t="inlineStr">
        <is>
          <t>Profondeur fond de semelle sous terrain fini  (hors-gel, min. 0,60 m)</t>
        </is>
      </c>
      <c r="B28" s="69">
        <f>IFERROR(B12-0.2+IF(N(D46)&gt;0,0.3,IF(N(D48)&gt;0,0.4,IF(N(D47)&gt;0,0.5,IF(N(D49)&gt;0,0.58,0)))),"")</f>
        <v/>
      </c>
      <c r="C28" s="67" t="inlineStr">
        <is>
          <t>m</t>
        </is>
      </c>
      <c r="D28" s="68">
        <f>IF(IF(N(D46)&gt;0,0.3,IF(N(D48)&gt;0,0.4,IF(N(D47)&gt;0,0.5,IF(N(D49)&gt;0,0.58,0))))&gt;0,"dont semelle : "&amp;FIXED(IF(N(D46)&gt;0,0.3,IF(N(D48)&gt;0,0.4,IF(N(D47)&gt;0,0.5,IF(N(D49)&gt;0,0.58,0)))),2)&amp;" m","aucune semelle saisie : fond de plateforme")</f>
        <v/>
      </c>
      <c r="E28" s="61" t="n"/>
      <c r="F28" s="61" t="n"/>
      <c r="G28" s="63" t="n"/>
    </row>
    <row r="29" ht="6" customHeight="1" s="56">
      <c r="A29" s="58" t="n"/>
    </row>
    <row r="30" ht="21.75" customHeight="1" s="56">
      <c r="A30" s="59" t="inlineStr">
        <is>
          <t>📐   SURFACES</t>
        </is>
      </c>
    </row>
    <row r="31" ht="27.75" customHeight="1" s="56">
      <c r="A31" s="112" t="inlineStr">
        <is>
          <t>Longueur = façade · Largeur = côté</t>
        </is>
      </c>
      <c r="B31" s="74" t="inlineStr">
        <is>
          <t>Maison</t>
        </is>
      </c>
      <c r="C31" s="74" t="inlineStr">
        <is>
          <t>Avancée</t>
        </is>
      </c>
      <c r="D31" s="75" t="inlineStr">
        <is>
          <t>Garage
Annexe</t>
        </is>
      </c>
      <c r="E31" s="75" t="inlineStr">
        <is>
          <t>Plateforme
Maison</t>
        </is>
      </c>
      <c r="F31" s="75" t="inlineStr">
        <is>
          <t>Plateforme
Avancée</t>
        </is>
      </c>
      <c r="G31" s="75" t="inlineStr">
        <is>
          <t>Plateforme
Garage</t>
        </is>
      </c>
    </row>
    <row r="32" ht="18" customHeight="1" s="56">
      <c r="A32" s="65" t="inlineStr">
        <is>
          <t>Longueur (m)  — Maison : façade</t>
        </is>
      </c>
      <c r="B32" s="66" t="n"/>
      <c r="C32" s="66" t="n"/>
      <c r="D32" s="66" t="n"/>
      <c r="E32" s="66" t="n"/>
      <c r="F32" s="66" t="n"/>
      <c r="G32" s="66" t="n"/>
    </row>
    <row r="33" ht="18" customHeight="1" s="56">
      <c r="A33" s="65" t="inlineStr">
        <is>
          <t>Largeur (m)  — Maison : côté</t>
        </is>
      </c>
      <c r="B33" s="66" t="n"/>
      <c r="C33" s="66" t="n"/>
      <c r="D33" s="66" t="n"/>
      <c r="E33" s="66" t="n"/>
      <c r="F33" s="66" t="n"/>
      <c r="G33" s="66" t="n"/>
    </row>
    <row r="34" ht="18" customHeight="1" s="56">
      <c r="A34" s="65" t="inlineStr">
        <is>
          <t>Surface (m²)</t>
        </is>
      </c>
      <c r="B34" s="76">
        <f>IF(OR(B32="",B33=""),"",B32*B33)</f>
        <v/>
      </c>
      <c r="C34" s="76">
        <f>IF(OR(C32="",C33=""),"",C32*C33)</f>
        <v/>
      </c>
      <c r="D34" s="76">
        <f>IF(OR(D32="",D33=""),"",D32*D33)</f>
        <v/>
      </c>
      <c r="E34" s="76">
        <f>IF(OR(E32="",E33=""),"",E32*E33)</f>
        <v/>
      </c>
      <c r="F34" s="76">
        <f>IF(OR(F32="",F33=""),"",F32*F33)</f>
        <v/>
      </c>
      <c r="G34" s="76">
        <f>IF(OR(G32="",G33=""),"",G32*G33)</f>
        <v/>
      </c>
    </row>
    <row r="35" ht="6" customHeight="1" s="56">
      <c r="A35" s="58" t="n"/>
    </row>
    <row r="36" ht="21.75" customHeight="1" s="56">
      <c r="A36" s="59" t="inlineStr">
        <is>
          <t>📦   VOLUMES THÉORIQUES</t>
        </is>
      </c>
    </row>
    <row r="37" ht="15" customHeight="1" s="56">
      <c r="A37" s="77">
        <f>IF(AND(SUM(E34:G34)&gt;0,SUM(E34:G34)&lt;SUM(B34:D34)),"   ⚠ Surface plateformes inférieure à la surface bâtiment : vérifier les saisies","   Surface × Hauteur moyenne de terrassement")</f>
        <v/>
      </c>
      <c r="B37" s="61" t="n"/>
      <c r="C37" s="61" t="n"/>
      <c r="D37" s="61" t="n"/>
      <c r="E37" s="61" t="n"/>
      <c r="F37" s="61" t="n"/>
      <c r="G37" s="61" t="n"/>
    </row>
    <row r="38" ht="18" customHeight="1" s="56">
      <c r="A38" s="60" t="inlineStr">
        <is>
          <t>Volume bâtiment  (maison + avancée + garage)  — info</t>
        </is>
      </c>
      <c r="B38" s="61" t="n"/>
      <c r="C38" s="61" t="n"/>
      <c r="D38" s="61" t="n"/>
      <c r="E38" s="61" t="n"/>
      <c r="F38" s="78">
        <f>IFERROR(MAX(0,SUM(B34:D34)*B24),"")</f>
        <v/>
      </c>
      <c r="G38" s="67" t="inlineStr">
        <is>
          <t>m³</t>
        </is>
      </c>
    </row>
    <row r="39" ht="18" customHeight="1" s="56">
      <c r="A39" s="60" t="inlineStr">
        <is>
          <t>Volume plateforme terrassée</t>
        </is>
      </c>
      <c r="B39" s="61" t="n"/>
      <c r="C39" s="61" t="n"/>
      <c r="D39" s="61" t="n"/>
      <c r="E39" s="61" t="n"/>
      <c r="F39" s="78">
        <f>IFERROR(MAX(0,SUM(E34:G34)*B24),"")</f>
        <v/>
      </c>
      <c r="G39" s="67" t="inlineStr">
        <is>
          <t>m³</t>
        </is>
      </c>
    </row>
    <row r="40" ht="6" customHeight="1" s="56">
      <c r="A40" s="58" t="n"/>
    </row>
    <row r="41" ht="21.75" customHeight="1" s="56">
      <c r="A41" s="59" t="inlineStr">
        <is>
          <t>🏗️   FONDATIONS</t>
        </is>
      </c>
    </row>
    <row r="42" ht="30" customHeight="1" s="56">
      <c r="A42" s="65" t="inlineStr">
        <is>
          <t>ML de fondation calculés  (maison : 3 × façade + 2 × côté ; avancée, garage : façade + 2 × côté)</t>
        </is>
      </c>
      <c r="B42" s="61" t="n"/>
      <c r="C42" s="113" t="n"/>
      <c r="D42" s="69">
        <f>3*N(B32)+2*N(B33)+N(C32)+2*N(C33)+N(D32)+2*N(D33)</f>
        <v/>
      </c>
      <c r="E42" s="113" t="n"/>
      <c r="F42" s="69" t="inlineStr">
        <is>
          <t>ml</t>
        </is>
      </c>
      <c r="G42" s="67" t="n"/>
    </row>
    <row r="43" ht="18" customHeight="1" s="56">
      <c r="A43" s="65" t="inlineStr">
        <is>
          <t>+ ML supplémentaires  (refends, débords…)</t>
        </is>
      </c>
      <c r="B43" s="61" t="n"/>
      <c r="C43" s="113" t="n"/>
      <c r="D43" s="81" t="n"/>
      <c r="E43" s="61" t="n"/>
      <c r="F43" s="69" t="inlineStr">
        <is>
          <t>ml</t>
        </is>
      </c>
      <c r="G43" s="67" t="n"/>
    </row>
    <row r="44" ht="19.5" customHeight="1" s="56">
      <c r="A44" s="114">
        <f> ML à répartir dans les types ci-dessous</f>
        <v/>
      </c>
      <c r="B44" s="61" t="n"/>
      <c r="C44" s="113" t="n"/>
      <c r="D44" s="83">
        <f>D42+N(D43)</f>
        <v/>
      </c>
      <c r="E44" s="61" t="n"/>
      <c r="F44" s="76">
        <f>IF(D44=0,"",IF(ABS(D44-N(D50))&lt;0.005,"✓ tout est affecté",IF(D44&gt;N(D50),"reste "&amp;FIXED(D44-N(D50),2)&amp;" ml à affecter","dépassé de "&amp;FIXED(N(D50)-D44,2)&amp;" ml")))</f>
        <v/>
      </c>
      <c r="G44" s="113" t="n"/>
    </row>
    <row r="45" ht="19.5" customHeight="1" s="56">
      <c r="A45" s="79" t="inlineStr">
        <is>
          <t>Type de fondation</t>
        </is>
      </c>
      <c r="B45" s="61" t="n"/>
      <c r="C45" s="74" t="inlineStr">
        <is>
          <t>Section (m²)</t>
        </is>
      </c>
      <c r="D45" s="79" t="inlineStr">
        <is>
          <t>Longueur (m)</t>
        </is>
      </c>
      <c r="E45" s="61" t="n"/>
      <c r="F45" s="74" t="inlineStr">
        <is>
          <t>Volume (m³)</t>
        </is>
      </c>
      <c r="G45" s="74" t="n"/>
    </row>
    <row r="46" ht="18" customHeight="1" s="56">
      <c r="A46" s="60" t="inlineStr">
        <is>
          <t>Fondations 50×30 cm</t>
        </is>
      </c>
      <c r="B46" s="61" t="n"/>
      <c r="C46" s="80">
        <f>0.5*0.3</f>
        <v/>
      </c>
      <c r="D46" s="81" t="n"/>
      <c r="E46" s="61" t="n"/>
      <c r="F46" s="69">
        <f>IFERROR(C46*D46,"")</f>
        <v/>
      </c>
      <c r="G46" s="67" t="inlineStr">
        <is>
          <t>m³</t>
        </is>
      </c>
    </row>
    <row r="47" ht="18" customHeight="1" s="56">
      <c r="A47" s="60" t="inlineStr">
        <is>
          <t>Fondations 55×50 cm</t>
        </is>
      </c>
      <c r="B47" s="61" t="n"/>
      <c r="C47" s="80">
        <f>0.55*0.5</f>
        <v/>
      </c>
      <c r="D47" s="81" t="n"/>
      <c r="E47" s="61" t="n"/>
      <c r="F47" s="69">
        <f>IFERROR(C47*D47,"")</f>
        <v/>
      </c>
      <c r="G47" s="67" t="inlineStr">
        <is>
          <t>m³</t>
        </is>
      </c>
    </row>
    <row r="48" ht="18" customHeight="1" s="56">
      <c r="A48" s="60" t="inlineStr">
        <is>
          <t>Fondations 50×40 cm</t>
        </is>
      </c>
      <c r="B48" s="61" t="n"/>
      <c r="C48" s="80">
        <f>0.5*0.4</f>
        <v/>
      </c>
      <c r="D48" s="81" t="n"/>
      <c r="E48" s="61" t="n"/>
      <c r="F48" s="69">
        <f>IFERROR(C48*D48,"")</f>
        <v/>
      </c>
      <c r="G48" s="67" t="inlineStr">
        <is>
          <t>m³</t>
        </is>
      </c>
    </row>
    <row r="49" ht="18" customHeight="1" s="56">
      <c r="A49" s="60" t="inlineStr">
        <is>
          <t>Fondations 60×58 cm</t>
        </is>
      </c>
      <c r="B49" s="61" t="n"/>
      <c r="C49" s="80">
        <f>0.6*0.58</f>
        <v/>
      </c>
      <c r="D49" s="81" t="n"/>
      <c r="E49" s="61" t="n"/>
      <c r="F49" s="69">
        <f>IFERROR(C49*D49,"")</f>
        <v/>
      </c>
      <c r="G49" s="67" t="inlineStr">
        <is>
          <t>m³</t>
        </is>
      </c>
    </row>
    <row r="50" ht="19.5" customHeight="1" s="56">
      <c r="A50" s="82" t="inlineStr">
        <is>
          <t>TOTAL fondations</t>
        </is>
      </c>
      <c r="B50" s="61" t="n"/>
      <c r="C50" s="73" t="n"/>
      <c r="D50" s="83">
        <f>IFERROR(SUM(D46:D49),"")</f>
        <v/>
      </c>
      <c r="E50" s="61" t="n"/>
      <c r="F50" s="76">
        <f>IFERROR(SUM(F46:F49),"")</f>
        <v/>
      </c>
      <c r="G50" s="84" t="inlineStr">
        <is>
          <t>m³</t>
        </is>
      </c>
    </row>
    <row r="51" ht="21.75" customHeight="1" s="56">
      <c r="A51" s="85" t="inlineStr">
        <is>
          <t>🚶   BANDE PÉRIPHÉRIQUE PLATE  (exigence constructeur)</t>
        </is>
      </c>
    </row>
    <row r="52" ht="40" customHeight="1" s="56">
      <c r="A52" s="86" t="inlineStr">
        <is>
          <t xml:space="preserve">   Niveau de la bande : RDC − 0,20 m (terrain fini), mesurée depuis le bord du bâti. Seuls les côtés à décaisser (TN au-dessus) sont comptés — les côtés en remblai ne sont pas déduits. Colonne « Actif » : Non pour un côté non exigé (limite de propriété).</t>
        </is>
      </c>
      <c r="B52" s="61" t="n"/>
      <c r="C52" s="61" t="n"/>
      <c r="D52" s="61" t="n"/>
      <c r="E52" s="61" t="n"/>
      <c r="F52" s="61" t="n"/>
      <c r="G52" s="61" t="n"/>
    </row>
    <row r="53" ht="18" customHeight="1" s="56">
      <c r="A53" s="65" t="inlineStr">
        <is>
          <t>Largeur de bande imposée  (tout autour, depuis le bord du bâti)</t>
        </is>
      </c>
      <c r="B53" s="66" t="n"/>
      <c r="C53" s="67" t="inlineStr">
        <is>
          <t>m</t>
        </is>
      </c>
      <c r="D53" s="68" t="n"/>
      <c r="E53" s="61" t="n"/>
      <c r="F53" s="61" t="n"/>
      <c r="G53" s="63" t="n"/>
    </row>
    <row r="54" ht="18" customHeight="1" s="56">
      <c r="A54" s="65" t="inlineStr">
        <is>
          <t>Longueur des façades avant / arrière  (vide = longueur Maison)</t>
        </is>
      </c>
      <c r="B54" s="66" t="n"/>
      <c r="C54" s="67" t="inlineStr">
        <is>
          <t>m</t>
        </is>
      </c>
      <c r="D54" s="68">
        <f>IF(B54="",IF(B32="","","→ retenu : "&amp;FIXED(B32,2)&amp;" m (Maison)"),"→ saisie manuelle")</f>
        <v/>
      </c>
      <c r="E54" s="61" t="n"/>
      <c r="F54" s="61" t="n"/>
      <c r="G54" s="63" t="n"/>
    </row>
    <row r="55" ht="18" customHeight="1" s="56">
      <c r="A55" s="65" t="inlineStr">
        <is>
          <t>Longueur des côtés droite / gauche  (vide = largeur Maison)</t>
        </is>
      </c>
      <c r="B55" s="66" t="n"/>
      <c r="C55" s="67" t="inlineStr">
        <is>
          <t>m</t>
        </is>
      </c>
      <c r="D55" s="68">
        <f>IF(B55="",IF(B33="","","→ retenu : "&amp;FIXED(B33,2)&amp;" m (Maison)"),"→ saisie manuelle")</f>
        <v/>
      </c>
      <c r="E55" s="61" t="n"/>
      <c r="F55" s="61" t="n"/>
      <c r="G55" s="63" t="n"/>
    </row>
    <row r="56" ht="19.5" customHeight="1" s="56">
      <c r="A56" s="87" t="inlineStr">
        <is>
          <t>Côté</t>
        </is>
      </c>
      <c r="B56" s="87" t="inlineStr">
        <is>
          <t>TN moyen (m)</t>
        </is>
      </c>
      <c r="C56" s="88" t="inlineStr">
        <is>
          <t>Haut. à décaisser (m)</t>
        </is>
      </c>
      <c r="D56" s="61" t="n"/>
      <c r="E56" s="87" t="inlineStr">
        <is>
          <t>Aire (m²)</t>
        </is>
      </c>
      <c r="F56" s="87" t="inlineStr">
        <is>
          <t>Volume (m³)</t>
        </is>
      </c>
      <c r="G56" s="87" t="inlineStr">
        <is>
          <t>Actif</t>
        </is>
      </c>
    </row>
    <row r="57" ht="18" customHeight="1" s="56">
      <c r="A57" s="65" t="inlineStr">
        <is>
          <t>Avant  (P1+P2)</t>
        </is>
      </c>
      <c r="B57" s="69">
        <f>IFERROR(AVERAGE(B19,B20),"")</f>
        <v/>
      </c>
      <c r="C57" s="89">
        <f>IFERROR(MAX(0,B57-($B$13-0.2)),"")</f>
        <v/>
      </c>
      <c r="D57" s="61" t="n"/>
      <c r="E57" s="69">
        <f>IF(OR($B$53="",IF($B$54="",$B$32,$B$54)="",IF($B$55="",$B$33,$B$55)=""),"",(IF($B$54="",$B$32,$B$54)+2*$B$53)*$B$53)</f>
        <v/>
      </c>
      <c r="F57" s="78">
        <f>IF(G57="Non",IF(ISNUMBER(E57*C57),0,""),IFERROR(E57*C57,""))</f>
        <v/>
      </c>
      <c r="G57" s="66" t="inlineStr">
        <is>
          <t>Oui</t>
        </is>
      </c>
    </row>
    <row r="58" ht="18" customHeight="1" s="56">
      <c r="A58" s="65" t="inlineStr">
        <is>
          <t>Arrière  (P3+P4)</t>
        </is>
      </c>
      <c r="B58" s="69">
        <f>IFERROR(AVERAGE(B21,B22),"")</f>
        <v/>
      </c>
      <c r="C58" s="89">
        <f>IFERROR(MAX(0,B58-($B$13-0.2)),"")</f>
        <v/>
      </c>
      <c r="D58" s="61" t="n"/>
      <c r="E58" s="69">
        <f>IF(OR($B$53="",IF($B$54="",$B$32,$B$54)="",IF($B$55="",$B$33,$B$55)=""),"",(IF($B$54="",$B$32,$B$54)+2*$B$53)*$B$53)</f>
        <v/>
      </c>
      <c r="F58" s="78">
        <f>IF(G58="Non",IF(ISNUMBER(E58*C58),0,""),IFERROR(E58*C58,""))</f>
        <v/>
      </c>
      <c r="G58" s="66" t="inlineStr">
        <is>
          <t>Oui</t>
        </is>
      </c>
    </row>
    <row r="59" ht="18" customHeight="1" s="56">
      <c r="A59" s="65" t="inlineStr">
        <is>
          <t>Droite  (P1+P4)</t>
        </is>
      </c>
      <c r="B59" s="69">
        <f>IFERROR(AVERAGE(B19,B22),"")</f>
        <v/>
      </c>
      <c r="C59" s="89">
        <f>IFERROR(MAX(0,B59-($B$13-0.2)),"")</f>
        <v/>
      </c>
      <c r="D59" s="61" t="n"/>
      <c r="E59" s="69">
        <f>IF(OR($B$53="",IF($B$54="",$B$32,$B$54)="",IF($B$55="",$B$33,$B$55)=""),"",IF($B$55="",$B$33,$B$55)*$B$53)</f>
        <v/>
      </c>
      <c r="F59" s="78">
        <f>IF(G59="Non",IF(ISNUMBER(E59*C59),0,""),IFERROR(E59*C59,""))</f>
        <v/>
      </c>
      <c r="G59" s="66" t="inlineStr">
        <is>
          <t>Oui</t>
        </is>
      </c>
    </row>
    <row r="60" ht="18" customHeight="1" s="56">
      <c r="A60" s="65" t="inlineStr">
        <is>
          <t>Gauche  (P2+P3)</t>
        </is>
      </c>
      <c r="B60" s="69">
        <f>IFERROR(AVERAGE(B20,B21),"")</f>
        <v/>
      </c>
      <c r="C60" s="89">
        <f>IFERROR(MAX(0,B60-($B$13-0.2)),"")</f>
        <v/>
      </c>
      <c r="D60" s="61" t="n"/>
      <c r="E60" s="69">
        <f>IF(OR($B$53="",IF($B$54="",$B$32,$B$54)="",IF($B$55="",$B$33,$B$55)=""),"",IF($B$55="",$B$33,$B$55)*$B$53)</f>
        <v/>
      </c>
      <c r="F60" s="78">
        <f>IF(G60="Non",IF(ISNUMBER(E60*C60),0,""),IFERROR(E60*C60,""))</f>
        <v/>
      </c>
      <c r="G60" s="66" t="inlineStr">
        <is>
          <t>Oui</t>
        </is>
      </c>
    </row>
    <row r="61" ht="19.5" customHeight="1" s="56">
      <c r="A61" s="90" t="inlineStr">
        <is>
          <t>TOTAL décaissement bande périphérique</t>
        </is>
      </c>
      <c r="B61" s="61" t="n"/>
      <c r="C61" s="61" t="n"/>
      <c r="D61" s="61" t="n"/>
      <c r="E61" s="61" t="n"/>
      <c r="F61" s="91">
        <f>SUM(F57:F60)</f>
        <v/>
      </c>
      <c r="G61" s="92" t="inlineStr">
        <is>
          <t>m³</t>
        </is>
      </c>
    </row>
    <row r="62" ht="6" customHeight="1" s="56">
      <c r="A62" s="58" t="n"/>
    </row>
    <row r="63" ht="21.75" customHeight="1" s="56">
      <c r="A63" s="59" t="inlineStr">
        <is>
          <t>📊   RÉSULTATS — VOLUMES À ÉVACUER</t>
        </is>
      </c>
    </row>
    <row r="64" ht="19.5" customHeight="1" s="56">
      <c r="A64" s="115" t="inlineStr">
        <is>
          <t>Coefficient de foisonnement</t>
        </is>
      </c>
      <c r="B64" s="116" t="n">
        <v>1.3</v>
      </c>
      <c r="C64" s="113" t="n"/>
      <c r="D64" s="116" t="n">
        <v>1.4</v>
      </c>
      <c r="E64" s="116" t="n">
        <v>1.5</v>
      </c>
      <c r="F64" s="113" t="n"/>
      <c r="G64" s="74" t="n"/>
    </row>
    <row r="65" ht="30" customHeight="1" s="56">
      <c r="A65" s="60" t="inlineStr">
        <is>
          <t>(Plateforme + fondations + bande périph.) × coef.  (m³)</t>
        </is>
      </c>
      <c r="B65" s="117">
        <f>IFERROR(($F$39+$F$50+$F$61)*B64,"")</f>
        <v/>
      </c>
      <c r="C65" s="113" t="n"/>
      <c r="D65" s="117">
        <f>IFERROR(($F$39+$F$50+$F$61)*D64,"")</f>
        <v/>
      </c>
      <c r="E65" s="117">
        <f>IFERROR(($F$39+$F$50+$F$61)*E64,"")</f>
        <v/>
      </c>
      <c r="F65" s="113" t="n"/>
      <c r="G65" s="69" t="n"/>
    </row>
    <row r="66" ht="30" customHeight="1" s="56">
      <c r="A66" s="60" t="inlineStr">
        <is>
          <t>Terres laissées sur place — remblais périphérie, VS − 0,20 m (m³, non foisonnées)</t>
        </is>
      </c>
      <c r="B66" s="118">
        <f>IFERROR(MAX(0,SUM(E34:G34)-SUM(B34:D34))*(B12-0.2),"")</f>
        <v/>
      </c>
      <c r="C66" s="113" t="n"/>
      <c r="D66" s="118">
        <f>B66</f>
        <v/>
      </c>
      <c r="E66" s="118">
        <f>B66</f>
        <v/>
      </c>
      <c r="F66" s="113" t="n"/>
      <c r="G66" s="69" t="n"/>
    </row>
    <row r="67" ht="31.5" customHeight="1" s="56">
      <c r="A67" s="95" t="inlineStr">
        <is>
          <t>🚛   TOTAL À ÉVACUER (m³)</t>
        </is>
      </c>
      <c r="B67" s="119">
        <f>IFERROR(MAX(0,B65-B66),"")</f>
        <v/>
      </c>
      <c r="C67" s="120" t="n"/>
      <c r="D67" s="119">
        <f>IFERROR(MAX(0,D65-D66),"")</f>
        <v/>
      </c>
      <c r="E67" s="119">
        <f>IFERROR(MAX(0,E65-E66),"")</f>
        <v/>
      </c>
      <c r="F67" s="120" t="n"/>
      <c r="G67" s="97" t="n"/>
    </row>
    <row r="68" ht="6" customHeight="1" s="56">
      <c r="A68" s="58" t="n"/>
    </row>
    <row r="69" ht="21.75" customHeight="1" s="56">
      <c r="A69" s="59" t="inlineStr">
        <is>
          <t>💰   DÉCOMPTE OS / FACTURATION</t>
        </is>
      </c>
    </row>
    <row r="70" ht="18" customHeight="1" s="56">
      <c r="A70" s="65" t="inlineStr">
        <is>
          <t>Prix unitaire évacuation des terres</t>
        </is>
      </c>
      <c r="B70" s="66" t="n">
        <v>23</v>
      </c>
      <c r="C70" s="67" t="inlineStr">
        <is>
          <t>€ HT/m³</t>
        </is>
      </c>
      <c r="D70" s="68" t="n"/>
      <c r="E70" s="61" t="n"/>
      <c r="F70" s="61" t="n"/>
      <c r="G70" s="63" t="n"/>
    </row>
    <row r="71" ht="18" customHeight="1" s="56">
      <c r="A71" s="65" t="inlineStr">
        <is>
          <t>Montant OS  (total)</t>
        </is>
      </c>
      <c r="B71" s="66" t="n"/>
      <c r="C71" s="67" t="inlineStr">
        <is>
          <t>€ HT</t>
        </is>
      </c>
      <c r="D71" s="68" t="n"/>
      <c r="E71" s="61" t="n"/>
      <c r="F71" s="61" t="n"/>
      <c r="G71" s="63" t="n"/>
    </row>
    <row r="72" ht="18" customHeight="1" s="56">
      <c r="A72" s="65" t="inlineStr">
        <is>
          <t xml:space="preserve">   dont  Vide-sanitaire</t>
        </is>
      </c>
      <c r="B72" s="66" t="n">
        <v>495</v>
      </c>
      <c r="C72" s="67" t="inlineStr">
        <is>
          <t>€ HT</t>
        </is>
      </c>
      <c r="D72" s="68" t="n"/>
      <c r="E72" s="61" t="n"/>
      <c r="F72" s="61" t="n"/>
      <c r="G72" s="63" t="n"/>
    </row>
    <row r="73" ht="18" customHeight="1" s="56">
      <c r="A73" s="65" t="inlineStr">
        <is>
          <t xml:space="preserve">   dont  Remblais</t>
        </is>
      </c>
      <c r="B73" s="66" t="n">
        <v>350</v>
      </c>
      <c r="C73" s="67" t="inlineStr">
        <is>
          <t>€ HT</t>
        </is>
      </c>
      <c r="D73" s="68" t="n"/>
      <c r="E73" s="61" t="n"/>
      <c r="F73" s="61" t="n"/>
      <c r="G73" s="63" t="n"/>
    </row>
    <row r="74" ht="18" customHeight="1" s="56">
      <c r="A74" s="65" t="inlineStr">
        <is>
          <t xml:space="preserve">   dont  Autres  (drainage, abattage, démolition…)</t>
        </is>
      </c>
      <c r="B74" s="66" t="n">
        <v>0</v>
      </c>
      <c r="C74" s="67" t="inlineStr">
        <is>
          <t>€ HT</t>
        </is>
      </c>
      <c r="D74" s="68" t="n"/>
      <c r="E74" s="61" t="n"/>
      <c r="F74" s="61" t="n"/>
      <c r="G74" s="63" t="n"/>
    </row>
    <row r="75" ht="18" customHeight="1" s="56">
      <c r="A75" s="65" t="inlineStr">
        <is>
          <t>Terres à évacuer prévues dans l'OS</t>
        </is>
      </c>
      <c r="B75" s="69">
        <f>IF(OR(B71="",N(B70)=0),"",(B71-B72-B73-B74)/B70)</f>
        <v/>
      </c>
      <c r="C75" s="67" t="inlineStr">
        <is>
          <t>m³</t>
        </is>
      </c>
      <c r="D75" s="68" t="n"/>
      <c r="E75" s="61" t="n"/>
      <c r="F75" s="61" t="n"/>
      <c r="G75" s="63" t="n"/>
    </row>
    <row r="76" ht="19.5" customHeight="1" s="56">
      <c r="A76" s="115" t="inlineStr">
        <is>
          <t>Coefficient de foisonnement</t>
        </is>
      </c>
      <c r="B76" s="116">
        <f>B64</f>
        <v/>
      </c>
      <c r="C76" s="113" t="n"/>
      <c r="D76" s="116">
        <f>D64</f>
        <v/>
      </c>
      <c r="E76" s="116">
        <f>E64</f>
        <v/>
      </c>
      <c r="F76" s="113" t="n"/>
      <c r="G76" s="74" t="n"/>
    </row>
    <row r="77" ht="30" customHeight="1" s="56">
      <c r="A77" s="65" t="inlineStr">
        <is>
          <t>Volume terres supplémentaires, non prévues OS  (m³ ; « marge » = OS suffisant)</t>
        </is>
      </c>
      <c r="B77" s="121">
        <f>IF(OR($B$75="",B67=""),"",B67-$B$75)</f>
        <v/>
      </c>
      <c r="C77" s="113" t="n"/>
      <c r="D77" s="121">
        <f>IF(OR($B$75="",D67=""),"",D67-$B$75)</f>
        <v/>
      </c>
      <c r="E77" s="121">
        <f>IF(OR($B$75="",E67=""),"",E67-$B$75)</f>
        <v/>
      </c>
      <c r="F77" s="113" t="n"/>
      <c r="G77" s="69" t="n"/>
    </row>
    <row r="78" ht="18" customHeight="1" s="56">
      <c r="A78" s="100" t="inlineStr">
        <is>
          <t>➤  Prix terres supplémentaires à facturer  (€ HT)</t>
        </is>
      </c>
      <c r="B78" s="122">
        <f>IF(B77="","",MAX(0,B77*$B$70))</f>
        <v/>
      </c>
      <c r="C78" s="113" t="n"/>
      <c r="D78" s="122">
        <f>IF(D77="","",MAX(0,D77*$B$70))</f>
        <v/>
      </c>
      <c r="E78" s="122">
        <f>IF(E77="","",MAX(0,E77*$B$70))</f>
        <v/>
      </c>
      <c r="F78" s="113" t="n"/>
      <c r="G78" s="101" t="n"/>
    </row>
    <row r="79" ht="6" customHeight="1" s="56">
      <c r="A79" s="58" t="n"/>
    </row>
    <row r="80" ht="18" customHeight="1" s="56">
      <c r="A80" s="103" t="inlineStr">
        <is>
          <t>LÉGENDE &amp; RÉFÉRENCE</t>
        </is>
      </c>
    </row>
    <row r="81" ht="15.75" customHeight="1" s="56">
      <c r="A81" s="104" t="inlineStr">
        <is>
          <t xml:space="preserve">  Exemple</t>
        </is>
      </c>
      <c r="B81" s="105" t="inlineStr">
        <is>
          <t>Cellule de saisie  →  valeur à entrer manuellement</t>
        </is>
      </c>
      <c r="C81" s="61" t="n"/>
      <c r="D81" s="61" t="n"/>
      <c r="E81" s="61" t="n"/>
      <c r="F81" s="61" t="n"/>
      <c r="G81" s="61" t="n"/>
    </row>
    <row r="82" ht="15.75" customHeight="1" s="56">
      <c r="A82" s="106" t="inlineStr">
        <is>
          <t xml:space="preserve">  Exemple</t>
        </is>
      </c>
      <c r="B82" s="105" t="inlineStr">
        <is>
          <t>Cellule calculée automatiquement  →  ne pas modifier</t>
        </is>
      </c>
      <c r="C82" s="61" t="n"/>
      <c r="D82" s="61" t="n"/>
      <c r="E82" s="61" t="n"/>
      <c r="F82" s="61" t="n"/>
      <c r="G82" s="61" t="n"/>
    </row>
    <row r="83" ht="15.75" customHeight="1" s="56">
      <c r="A83" s="107" t="inlineStr">
        <is>
          <t xml:space="preserve">  Exemple</t>
        </is>
      </c>
      <c r="B83" s="105" t="inlineStr">
        <is>
          <t>Résultat principal</t>
        </is>
      </c>
      <c r="C83" s="61" t="n"/>
      <c r="D83" s="61" t="n"/>
      <c r="E83" s="61" t="n"/>
      <c r="F83" s="61" t="n"/>
      <c r="G83" s="61" t="n"/>
    </row>
    <row r="84" ht="15.75" customHeight="1" s="56">
      <c r="A84" s="108" t="inlineStr">
        <is>
          <t xml:space="preserve">  Exemple</t>
        </is>
      </c>
      <c r="B84" s="105" t="inlineStr">
        <is>
          <t>Menu déroulant  →  sélectionner une valeur dans la liste</t>
        </is>
      </c>
      <c r="C84" s="61" t="n"/>
      <c r="D84" s="61" t="n"/>
      <c r="E84" s="61" t="n"/>
      <c r="F84" s="61" t="n"/>
      <c r="G84" s="61" t="n"/>
    </row>
    <row r="85" ht="15.75" customHeight="1" s="56">
      <c r="A85" s="109" t="inlineStr">
        <is>
          <t xml:space="preserve">  Exemple</t>
        </is>
      </c>
      <c r="B85" s="105" t="inlineStr">
        <is>
          <t>Bande périphérique  →  décaissement calculé par côté, remblais non déduits</t>
        </is>
      </c>
      <c r="C85" s="61" t="n"/>
      <c r="D85" s="61" t="n"/>
      <c r="E85" s="61" t="n"/>
      <c r="F85" s="61" t="n"/>
      <c r="G85" s="61" t="n"/>
    </row>
    <row r="86" ht="3.75" customHeight="1" s="56">
      <c r="A86" s="58" t="n"/>
    </row>
    <row r="87" ht="15.75" customHeight="1" s="56">
      <c r="A87" s="110" t="inlineStr">
        <is>
          <t xml:space="preserve">   Coefficients de foisonnement — référence</t>
        </is>
      </c>
      <c r="B87" s="61" t="n"/>
      <c r="C87" s="61" t="n"/>
      <c r="D87" s="61" t="n"/>
      <c r="E87" s="61" t="n"/>
      <c r="F87" s="61" t="n"/>
      <c r="G87" s="61" t="n"/>
    </row>
    <row r="88" ht="16.5" customHeight="1" s="56">
      <c r="A88" s="108" t="inlineStr">
        <is>
          <t xml:space="preserve">   Coef. 1,3</t>
        </is>
      </c>
      <c r="B88" s="111" t="inlineStr">
        <is>
          <t>Craie, tout-venant, grave, glaises, marnes vertes</t>
        </is>
      </c>
      <c r="C88" s="61" t="n"/>
      <c r="D88" s="61" t="n"/>
      <c r="E88" s="61" t="n"/>
      <c r="F88" s="61" t="n"/>
      <c r="G88" s="61" t="n"/>
      <c r="I88" s="55" t="n"/>
    </row>
    <row r="89" ht="16.5" customHeight="1" s="56">
      <c r="A89" s="108" t="inlineStr">
        <is>
          <t xml:space="preserve">   Coef. 1,4</t>
        </is>
      </c>
      <c r="B89" s="111" t="inlineStr">
        <is>
          <t>Argiles raides, limons compacts, roches tendres</t>
        </is>
      </c>
      <c r="C89" s="61" t="n"/>
      <c r="D89" s="61" t="n"/>
      <c r="E89" s="61" t="n"/>
      <c r="F89" s="61" t="n"/>
      <c r="G89" s="61" t="n"/>
      <c r="I89" s="55" t="n"/>
    </row>
    <row r="90" ht="16.5" customHeight="1" s="56">
      <c r="A90" s="108" t="inlineStr">
        <is>
          <t xml:space="preserve">   Coef. 1,5</t>
        </is>
      </c>
      <c r="B90" s="111" t="inlineStr">
        <is>
          <t>Roches dures, granites, grès, béton armé</t>
        </is>
      </c>
      <c r="C90" s="61" t="n"/>
      <c r="D90" s="61" t="n"/>
      <c r="E90" s="61" t="n"/>
      <c r="F90" s="61" t="n"/>
      <c r="G90" s="61" t="n"/>
      <c r="I90" s="55" t="n"/>
    </row>
  </sheetData>
  <mergeCells count="102">
    <mergeCell ref="A39:E39"/>
    <mergeCell ref="D11:F11"/>
    <mergeCell ref="A17:G17"/>
    <mergeCell ref="A35:G35"/>
    <mergeCell ref="A62:G62"/>
    <mergeCell ref="B88:G88"/>
    <mergeCell ref="D53:F53"/>
    <mergeCell ref="D75:F75"/>
    <mergeCell ref="A68:G68"/>
    <mergeCell ref="D45:E45"/>
    <mergeCell ref="B82:G82"/>
    <mergeCell ref="E64:F64"/>
    <mergeCell ref="B77:C77"/>
    <mergeCell ref="D28:F28"/>
    <mergeCell ref="A9:G9"/>
    <mergeCell ref="B67:C67"/>
    <mergeCell ref="D12:F12"/>
    <mergeCell ref="A30:G30"/>
    <mergeCell ref="D48:E48"/>
    <mergeCell ref="A43:C43"/>
    <mergeCell ref="C56:D56"/>
    <mergeCell ref="E65:F65"/>
    <mergeCell ref="D14:F14"/>
    <mergeCell ref="B78:C78"/>
    <mergeCell ref="A79:G79"/>
    <mergeCell ref="D23:F23"/>
    <mergeCell ref="A87:G87"/>
    <mergeCell ref="A37:G37"/>
    <mergeCell ref="B64:C64"/>
    <mergeCell ref="A6:C6"/>
    <mergeCell ref="A26:G26"/>
    <mergeCell ref="A48:B48"/>
    <mergeCell ref="D27:F27"/>
    <mergeCell ref="A8:G8"/>
    <mergeCell ref="A45:B45"/>
    <mergeCell ref="E67:F67"/>
    <mergeCell ref="B66:C66"/>
    <mergeCell ref="A52:G52"/>
    <mergeCell ref="A63:G63"/>
    <mergeCell ref="A5:C5"/>
    <mergeCell ref="A46:B46"/>
    <mergeCell ref="D74:F74"/>
    <mergeCell ref="A4:C4"/>
    <mergeCell ref="D55:F55"/>
    <mergeCell ref="A36:G36"/>
    <mergeCell ref="D47:E47"/>
    <mergeCell ref="A44:C44"/>
    <mergeCell ref="A1:G1"/>
    <mergeCell ref="D5:F5"/>
    <mergeCell ref="C60:D60"/>
    <mergeCell ref="A69:G69"/>
    <mergeCell ref="D54:F54"/>
    <mergeCell ref="A80:G80"/>
    <mergeCell ref="A38:E38"/>
    <mergeCell ref="E76:F76"/>
    <mergeCell ref="A3:G3"/>
    <mergeCell ref="C57:D57"/>
    <mergeCell ref="E66:F66"/>
    <mergeCell ref="A49:B49"/>
    <mergeCell ref="C58:D58"/>
    <mergeCell ref="D16:F16"/>
    <mergeCell ref="A42:C42"/>
    <mergeCell ref="A40:G40"/>
    <mergeCell ref="B84:G84"/>
    <mergeCell ref="D49:E49"/>
    <mergeCell ref="D71:F71"/>
    <mergeCell ref="E78:F78"/>
    <mergeCell ref="D73:F73"/>
    <mergeCell ref="C59:D59"/>
    <mergeCell ref="B89:G89"/>
    <mergeCell ref="E77:F77"/>
    <mergeCell ref="A25:G25"/>
    <mergeCell ref="B81:G81"/>
    <mergeCell ref="B90:G90"/>
    <mergeCell ref="A18:G18"/>
    <mergeCell ref="B76:C76"/>
    <mergeCell ref="A2:G2"/>
    <mergeCell ref="A86:G86"/>
    <mergeCell ref="D6:F6"/>
    <mergeCell ref="D13:F13"/>
    <mergeCell ref="D70:F70"/>
    <mergeCell ref="D46:E46"/>
    <mergeCell ref="A29:G29"/>
    <mergeCell ref="A61:E61"/>
    <mergeCell ref="D72:F72"/>
    <mergeCell ref="D4:F4"/>
    <mergeCell ref="B83:G83"/>
    <mergeCell ref="D15:F15"/>
    <mergeCell ref="A51:G51"/>
    <mergeCell ref="A50:B50"/>
    <mergeCell ref="D24:F24"/>
    <mergeCell ref="B85:G85"/>
    <mergeCell ref="D43:E43"/>
    <mergeCell ref="A47:B47"/>
    <mergeCell ref="A7:G7"/>
    <mergeCell ref="A41:G41"/>
    <mergeCell ref="B65:C65"/>
    <mergeCell ref="D10:F10"/>
    <mergeCell ref="D42:E42"/>
    <mergeCell ref="D50:E50"/>
    <mergeCell ref="D44:E44"/>
    <mergeCell ref="F44:G44"/>
  </mergeCells>
  <conditionalFormatting sqref="B28">
    <cfRule type="expression" rank="0" priority="2" equalAverage="0" aboveAverage="0" dxfId="0" text="" percent="0" bottom="0">
      <formula>AND(ISNUMBER(B28),B28&lt;0.6)</formula>
    </cfRule>
    <cfRule type="expression" rank="0" priority="3" equalAverage="0" aboveAverage="0" dxfId="1" text="" percent="0" bottom="0">
      <formula>AND(ISNUMBER(B28),B28&gt;=0.6)</formula>
    </cfRule>
  </conditionalFormatting>
  <conditionalFormatting sqref="D23">
    <cfRule type="expression" rank="0" priority="4" equalAverage="0" aboveAverage="0" dxfId="2" text="" percent="0" bottom="0">
      <formula>COUNT($B$19:$B$22)&lt;4</formula>
    </cfRule>
  </conditionalFormatting>
  <dataValidations count="1">
    <dataValidation sqref="G57:G60" showDropDown="0" showInputMessage="1" showErrorMessage="0" allowBlank="0" promptTitle="Côté actif" prompt="Non = côté non exigé (limite de propriété…)" type="list">
      <formula1>"Oui,Non"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2026-07-17T21:49:06Z</dcterms:created>
  <dcterms:modified xsi:type="dcterms:W3CDTF">2026-10-08T20:12:18Z</dcterms:modified>
  <cp:revision>0</cp:revision>
</cp:coreProperties>
</file>